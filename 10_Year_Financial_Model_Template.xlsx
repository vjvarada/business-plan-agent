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jayRaghavVarada\Documents\Github\business-plan-agent\"/>
    </mc:Choice>
  </mc:AlternateContent>
  <xr:revisionPtr revIDLastSave="0" documentId="8_{18EA80CB-BBCB-41FD-84B8-0CC1E520C08F}" xr6:coauthVersionLast="47" xr6:coauthVersionMax="47" xr10:uidLastSave="{00000000-0000-0000-0000-000000000000}"/>
  <bookViews>
    <workbookView xWindow="-108" yWindow="-108" windowWidth="30936" windowHeight="18696" activeTab="5" xr2:uid="{00000000-000D-0000-FFFF-FFFF00000000}"/>
  </bookViews>
  <sheets>
    <sheet name="Assumptions" sheetId="1" r:id="rId1"/>
    <sheet name="Revenue" sheetId="2" r:id="rId2"/>
    <sheet name="Operating Costs" sheetId="3" r:id="rId3"/>
    <sheet name="P&amp;L" sheetId="4" r:id="rId4"/>
    <sheet name="Balance Sheet" sheetId="6" r:id="rId5"/>
    <sheet name="Cash Flow" sheetId="5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6" l="1"/>
  <c r="K7" i="6"/>
  <c r="J7" i="6"/>
  <c r="I7" i="6"/>
  <c r="H7" i="6"/>
  <c r="G7" i="6"/>
  <c r="F7" i="6"/>
  <c r="E7" i="6"/>
  <c r="D7" i="6"/>
  <c r="C7" i="6"/>
  <c r="B7" i="6"/>
  <c r="L6" i="6"/>
  <c r="K6" i="6"/>
  <c r="J6" i="6"/>
  <c r="I6" i="6"/>
  <c r="H6" i="6"/>
  <c r="G6" i="6"/>
  <c r="F6" i="6"/>
  <c r="E6" i="6"/>
  <c r="D6" i="6"/>
  <c r="C6" i="6"/>
  <c r="B6" i="6"/>
  <c r="L2" i="6"/>
  <c r="K2" i="6"/>
  <c r="J2" i="6"/>
  <c r="I2" i="6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H2" i="6" s="1"/>
  <c r="G6" i="5"/>
  <c r="G2" i="6" s="1"/>
  <c r="F6" i="5"/>
  <c r="F2" i="6" s="1"/>
  <c r="E6" i="5"/>
  <c r="E2" i="6" s="1"/>
  <c r="D6" i="5"/>
  <c r="D2" i="6" s="1"/>
  <c r="C6" i="5"/>
  <c r="C2" i="6" s="1"/>
  <c r="B6" i="5"/>
  <c r="B2" i="6" s="1"/>
  <c r="L7" i="4"/>
  <c r="K7" i="4"/>
  <c r="J7" i="4"/>
  <c r="I7" i="4"/>
  <c r="H7" i="4"/>
  <c r="G7" i="4"/>
  <c r="F7" i="4"/>
  <c r="E7" i="4"/>
  <c r="D7" i="4"/>
  <c r="C7" i="4"/>
  <c r="B7" i="4"/>
  <c r="L5" i="4"/>
  <c r="L3" i="5" s="1"/>
  <c r="K5" i="4"/>
  <c r="K3" i="5" s="1"/>
  <c r="J5" i="4"/>
  <c r="J3" i="5" s="1"/>
  <c r="I5" i="4"/>
  <c r="I3" i="5" s="1"/>
  <c r="H5" i="4"/>
  <c r="H3" i="5" s="1"/>
  <c r="G5" i="4"/>
  <c r="G3" i="5" s="1"/>
  <c r="F5" i="4"/>
  <c r="F3" i="5" s="1"/>
  <c r="E5" i="4"/>
  <c r="E3" i="5" s="1"/>
  <c r="D5" i="4"/>
  <c r="D3" i="5" s="1"/>
  <c r="C5" i="4"/>
  <c r="C3" i="5" s="1"/>
  <c r="B5" i="4"/>
  <c r="B3" i="5" s="1"/>
  <c r="L3" i="3"/>
  <c r="K3" i="3"/>
  <c r="J3" i="3"/>
  <c r="I3" i="3"/>
  <c r="H3" i="3"/>
  <c r="G3" i="3"/>
  <c r="F3" i="3"/>
  <c r="E3" i="3"/>
  <c r="D3" i="3"/>
  <c r="C3" i="3"/>
  <c r="B3" i="3"/>
  <c r="B2" i="2"/>
  <c r="B2" i="4" s="1"/>
  <c r="B2" i="3" l="1"/>
  <c r="B3" i="4" s="1"/>
  <c r="B4" i="4" s="1"/>
  <c r="B6" i="4" s="1"/>
  <c r="B8" i="4" s="1"/>
  <c r="C2" i="2"/>
  <c r="B9" i="4" l="1"/>
  <c r="B10" i="4" s="1"/>
  <c r="D2" i="2"/>
  <c r="C2" i="4"/>
  <c r="C2" i="3"/>
  <c r="C3" i="4" s="1"/>
  <c r="B8" i="6" l="1"/>
  <c r="B9" i="6" s="1"/>
  <c r="B2" i="5"/>
  <c r="B5" i="5" s="1"/>
  <c r="B9" i="5" s="1"/>
  <c r="B4" i="6" s="1"/>
  <c r="B5" i="6" s="1"/>
  <c r="C4" i="4"/>
  <c r="C6" i="4" s="1"/>
  <c r="C8" i="4" s="1"/>
  <c r="D2" i="4"/>
  <c r="D2" i="3"/>
  <c r="D3" i="4" s="1"/>
  <c r="E2" i="2"/>
  <c r="E2" i="4" l="1"/>
  <c r="F2" i="2"/>
  <c r="E2" i="3"/>
  <c r="E3" i="4" s="1"/>
  <c r="C9" i="4"/>
  <c r="C10" i="4" s="1"/>
  <c r="D4" i="4"/>
  <c r="D6" i="4" s="1"/>
  <c r="D8" i="4" s="1"/>
  <c r="C8" i="6" l="1"/>
  <c r="C9" i="6" s="1"/>
  <c r="C2" i="5"/>
  <c r="C5" i="5" s="1"/>
  <c r="C9" i="5" s="1"/>
  <c r="C4" i="6" s="1"/>
  <c r="C5" i="6" s="1"/>
  <c r="D9" i="4"/>
  <c r="D10" i="4" s="1"/>
  <c r="G2" i="2"/>
  <c r="F2" i="3"/>
  <c r="F3" i="4" s="1"/>
  <c r="F2" i="4"/>
  <c r="F4" i="4" s="1"/>
  <c r="F6" i="4" s="1"/>
  <c r="F8" i="4" s="1"/>
  <c r="E4" i="4"/>
  <c r="E6" i="4" s="1"/>
  <c r="E8" i="4" s="1"/>
  <c r="D8" i="6" l="1"/>
  <c r="D9" i="6" s="1"/>
  <c r="D2" i="5"/>
  <c r="D5" i="5" s="1"/>
  <c r="D9" i="5" s="1"/>
  <c r="D4" i="6" s="1"/>
  <c r="D5" i="6" s="1"/>
  <c r="E9" i="4"/>
  <c r="E10" i="4" s="1"/>
  <c r="H2" i="2"/>
  <c r="G2" i="3"/>
  <c r="G3" i="4" s="1"/>
  <c r="G2" i="4"/>
  <c r="F9" i="4"/>
  <c r="F10" i="4" s="1"/>
  <c r="F8" i="6" l="1"/>
  <c r="F9" i="6" s="1"/>
  <c r="F2" i="5"/>
  <c r="F5" i="5" s="1"/>
  <c r="F9" i="5" s="1"/>
  <c r="F4" i="6" s="1"/>
  <c r="F5" i="6" s="1"/>
  <c r="E8" i="6"/>
  <c r="E9" i="6" s="1"/>
  <c r="E2" i="5"/>
  <c r="E5" i="5" s="1"/>
  <c r="E9" i="5" s="1"/>
  <c r="E4" i="6" s="1"/>
  <c r="E5" i="6" s="1"/>
  <c r="G4" i="4"/>
  <c r="G6" i="4" s="1"/>
  <c r="G8" i="4" s="1"/>
  <c r="I2" i="2"/>
  <c r="H2" i="4"/>
  <c r="H2" i="3"/>
  <c r="H3" i="4" s="1"/>
  <c r="H4" i="4" l="1"/>
  <c r="H6" i="4" s="1"/>
  <c r="H8" i="4" s="1"/>
  <c r="G9" i="4"/>
  <c r="G10" i="4"/>
  <c r="J2" i="2"/>
  <c r="I2" i="4"/>
  <c r="I2" i="3"/>
  <c r="I3" i="4" s="1"/>
  <c r="I4" i="4" l="1"/>
  <c r="I6" i="4" s="1"/>
  <c r="I8" i="4" s="1"/>
  <c r="J2" i="4"/>
  <c r="J2" i="3"/>
  <c r="J3" i="4" s="1"/>
  <c r="K2" i="2"/>
  <c r="G8" i="6"/>
  <c r="G9" i="6" s="1"/>
  <c r="G2" i="5"/>
  <c r="G5" i="5" s="1"/>
  <c r="G9" i="5" s="1"/>
  <c r="G4" i="6" s="1"/>
  <c r="G5" i="6" s="1"/>
  <c r="H9" i="4"/>
  <c r="H10" i="4" s="1"/>
  <c r="H2" i="5" l="1"/>
  <c r="H5" i="5" s="1"/>
  <c r="H9" i="5" s="1"/>
  <c r="H4" i="6" s="1"/>
  <c r="H5" i="6" s="1"/>
  <c r="H8" i="6"/>
  <c r="H9" i="6" s="1"/>
  <c r="K2" i="4"/>
  <c r="L2" i="2"/>
  <c r="K2" i="3"/>
  <c r="K3" i="4" s="1"/>
  <c r="J4" i="4"/>
  <c r="J6" i="4" s="1"/>
  <c r="J8" i="4" s="1"/>
  <c r="I9" i="4"/>
  <c r="I10" i="4"/>
  <c r="J9" i="4" l="1"/>
  <c r="J10" i="4"/>
  <c r="I8" i="6"/>
  <c r="I9" i="6" s="1"/>
  <c r="I2" i="5"/>
  <c r="I5" i="5" s="1"/>
  <c r="I9" i="5" s="1"/>
  <c r="I4" i="6" s="1"/>
  <c r="I5" i="6" s="1"/>
  <c r="L2" i="3"/>
  <c r="L3" i="4" s="1"/>
  <c r="L2" i="4"/>
  <c r="L4" i="4" s="1"/>
  <c r="L6" i="4" s="1"/>
  <c r="L8" i="4" s="1"/>
  <c r="K4" i="4"/>
  <c r="K6" i="4" s="1"/>
  <c r="K8" i="4" s="1"/>
  <c r="L9" i="4" l="1"/>
  <c r="L10" i="4"/>
  <c r="K9" i="4"/>
  <c r="K10" i="4"/>
  <c r="J2" i="5"/>
  <c r="J5" i="5" s="1"/>
  <c r="J9" i="5" s="1"/>
  <c r="J4" i="6" s="1"/>
  <c r="J5" i="6" s="1"/>
  <c r="J8" i="6"/>
  <c r="J9" i="6" s="1"/>
  <c r="K2" i="5" l="1"/>
  <c r="K5" i="5" s="1"/>
  <c r="K9" i="5" s="1"/>
  <c r="K4" i="6" s="1"/>
  <c r="K5" i="6" s="1"/>
  <c r="K8" i="6"/>
  <c r="K9" i="6" s="1"/>
  <c r="L8" i="6"/>
  <c r="L9" i="6" s="1"/>
  <c r="L2" i="5"/>
  <c r="L5" i="5" s="1"/>
  <c r="L9" i="5" s="1"/>
  <c r="L4" i="6" s="1"/>
  <c r="L5" i="6" s="1"/>
</calcChain>
</file>

<file path=xl/sharedStrings.xml><?xml version="1.0" encoding="utf-8"?>
<sst xmlns="http://schemas.openxmlformats.org/spreadsheetml/2006/main" count="120" uniqueCount="48">
  <si>
    <t>Parameter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</si>
  <si>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</si>
  <si>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</si>
  <si>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</si>
  <si>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</si>
  <si>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</si>
  <si>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</si>
  <si>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</si>
  <si>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</si>
  <si>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</si>
  <si>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</si>
  <si>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</si>
  <si>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Price per Unit</t>
  </si>
  <si>
    <t>Volume (Customers / Units)</t>
  </si>
  <si>
    <t>Revenue Growth %</t>
  </si>
  <si>
    <t>Variable Cost % of Revenue</t>
  </si>
  <si>
    <t>Fixed Costs</t>
  </si>
  <si>
    <t>Tax Rate</t>
  </si>
  <si>
    <t>Capex</t>
  </si>
  <si>
    <t>Depreciation (Years)</t>
  </si>
  <si>
    <t>Debtor Days</t>
  </si>
  <si>
    <t>Creditor Days</t>
  </si>
  <si>
    <t>Inventory Days</t>
  </si>
  <si>
    <t>Interest Rate on Debt</t>
  </si>
  <si>
    <t>Equity Infusion</t>
  </si>
  <si>
    <t>Debt Drawdown</t>
  </si>
  <si>
    <t>Revenue</t>
  </si>
  <si>
    <t>Variable Costs</t>
  </si>
  <si>
    <t>Total Costs</t>
  </si>
  <si>
    <t>EBITDA</t>
  </si>
  <si>
    <t>Depreciation</t>
  </si>
  <si>
    <t>EBIT</t>
  </si>
  <si>
    <t>Interest</t>
  </si>
  <si>
    <t>PBT</t>
  </si>
  <si>
    <t>Tax</t>
  </si>
  <si>
    <t>PAT</t>
  </si>
  <si>
    <t>Change in WC</t>
  </si>
  <si>
    <t>Operating CF</t>
  </si>
  <si>
    <t>Equity</t>
  </si>
  <si>
    <t>Debt</t>
  </si>
  <si>
    <t>Net Cash Flow</t>
  </si>
  <si>
    <t>Fixed Assets</t>
  </si>
  <si>
    <t>Working Capital</t>
  </si>
  <si>
    <t>0</t>
  </si>
  <si>
    <t>Cash</t>
  </si>
  <si>
    <t>Total Assets</t>
  </si>
  <si>
    <t>Retained Earnings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</si>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</sst>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4.35" x14ac:dyDescent="0.5"/>
  <cols>
    <col min="1" max="14" width="18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12</v>
      </c>
    </row>
    <row r="3" spans="1:12" x14ac:dyDescent="0.5">
      <c r="A3" t="s">
        <v>13</v>
      </c>
    </row>
    <row r="4" spans="1:12" x14ac:dyDescent="0.5">
      <c r="A4" t="s">
        <v>14</v>
      </c>
    </row>
    <row r="5" spans="1:12" x14ac:dyDescent="0.5">
      <c r="A5" t="s">
        <v>15</v>
      </c>
    </row>
    <row r="6" spans="1:12" x14ac:dyDescent="0.5">
      <c r="A6" t="s">
        <v>16</v>
      </c>
    </row>
    <row r="7" spans="1:12" x14ac:dyDescent="0.5">
      <c r="A7" t="s">
        <v>17</v>
      </c>
    </row>
    <row r="8" spans="1:12" x14ac:dyDescent="0.5">
      <c r="A8" t="s">
        <v>18</v>
      </c>
    </row>
    <row r="9" spans="1:12" x14ac:dyDescent="0.5">
      <c r="A9" t="s">
        <v>19</v>
      </c>
    </row>
    <row r="10" spans="1:12" x14ac:dyDescent="0.5">
      <c r="A10" t="s">
        <v>20</v>
      </c>
    </row>
    <row r="11" spans="1:12" x14ac:dyDescent="0.5">
      <c r="A11" t="s">
        <v>21</v>
      </c>
    </row>
    <row r="12" spans="1:12" x14ac:dyDescent="0.5">
      <c r="A12" t="s">
        <v>22</v>
      </c>
    </row>
    <row r="13" spans="1:12" x14ac:dyDescent="0.5">
      <c r="A13" t="s">
        <v>23</v>
      </c>
    </row>
    <row r="14" spans="1:12" x14ac:dyDescent="0.5">
      <c r="A14" t="s">
        <v>24</v>
      </c>
    </row>
    <row r="15" spans="1:12" x14ac:dyDescent="0.5">
      <c r="A1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35" x14ac:dyDescent="0.5"/>
  <cols>
    <col min="1" max="14" width="18" customWidth="1"/>
  </cols>
  <sheetData>
    <row r="1" spans="1:12" x14ac:dyDescent="0.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26</v>
      </c>
      <c r="B2">
        <f>Assumptions!B2*Assumptions!B3</f>
        <v>0</v>
      </c>
      <c r="C2">
        <f>Revenue!B2*(1+Assumptions!C3)</f>
        <v>0</v>
      </c>
      <c r="D2">
        <f>Revenue!C2*(1+Assumptions!D3)</f>
        <v>0</v>
      </c>
      <c r="E2">
        <f>Revenue!D2*(1+Assumptions!E3)</f>
        <v>0</v>
      </c>
      <c r="F2">
        <f>Revenue!E2*(1+Assumptions!F3)</f>
        <v>0</v>
      </c>
      <c r="G2">
        <f>Revenue!F2*(1+Assumptions!G3)</f>
        <v>0</v>
      </c>
      <c r="H2">
        <f>Revenue!G2*(1+Assumptions!H3)</f>
        <v>0</v>
      </c>
      <c r="I2">
        <f>Revenue!H2*(1+Assumptions!I3)</f>
        <v>0</v>
      </c>
      <c r="J2">
        <f>Revenue!I2*(1+Assumptions!J3)</f>
        <v>0</v>
      </c>
      <c r="K2">
        <f>Revenue!J2*(1+Assumptions!K3)</f>
        <v>0</v>
      </c>
      <c r="L2">
        <f>Revenue!K2*(1+Assumptions!L3)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RowHeight="14.35" x14ac:dyDescent="0.5"/>
  <cols>
    <col min="1" max="14" width="18" customWidth="1"/>
  </cols>
  <sheetData>
    <row r="1" spans="1:12" x14ac:dyDescent="0.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27</v>
      </c>
      <c r="B2">
        <f>Revenue!B2*Assumptions!B4</f>
        <v>0</v>
      </c>
      <c r="C2">
        <f>Revenue!C2*Assumptions!C4</f>
        <v>0</v>
      </c>
      <c r="D2">
        <f>Revenue!D2*Assumptions!D4</f>
        <v>0</v>
      </c>
      <c r="E2">
        <f>Revenue!E2*Assumptions!E4</f>
        <v>0</v>
      </c>
      <c r="F2">
        <f>Revenue!F2*Assumptions!F4</f>
        <v>0</v>
      </c>
      <c r="G2">
        <f>Revenue!G2*Assumptions!G4</f>
        <v>0</v>
      </c>
      <c r="H2">
        <f>Revenue!H2*Assumptions!H4</f>
        <v>0</v>
      </c>
      <c r="I2">
        <f>Revenue!I2*Assumptions!I4</f>
        <v>0</v>
      </c>
      <c r="J2">
        <f>Revenue!J2*Assumptions!J4</f>
        <v>0</v>
      </c>
      <c r="K2">
        <f>Revenue!K2*Assumptions!K4</f>
        <v>0</v>
      </c>
      <c r="L2">
        <f>Revenue!L2*Assumptions!L4</f>
        <v>0</v>
      </c>
    </row>
    <row r="3" spans="1:12" x14ac:dyDescent="0.5">
      <c r="A3" t="s">
        <v>16</v>
      </c>
      <c r="B3">
        <f>Assumptions!B5</f>
        <v>0</v>
      </c>
      <c r="C3">
        <f>Assumptions!C5</f>
        <v>0</v>
      </c>
      <c r="D3">
        <f>Assumptions!D5</f>
        <v>0</v>
      </c>
      <c r="E3">
        <f>Assumptions!E5</f>
        <v>0</v>
      </c>
      <c r="F3">
        <f>Assumptions!F5</f>
        <v>0</v>
      </c>
      <c r="G3">
        <f>Assumptions!G5</f>
        <v>0</v>
      </c>
      <c r="H3">
        <f>Assumptions!H5</f>
        <v>0</v>
      </c>
      <c r="I3">
        <f>Assumptions!I5</f>
        <v>0</v>
      </c>
      <c r="J3">
        <f>Assumptions!J5</f>
        <v>0</v>
      </c>
      <c r="K3">
        <f>Assumptions!K5</f>
        <v>0</v>
      </c>
      <c r="L3">
        <f>Assumptions!L5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B11" sqref="B11"/>
    </sheetView>
  </sheetViews>
  <sheetFormatPr defaultRowHeight="14.35" x14ac:dyDescent="0.5"/>
  <cols>
    <col min="1" max="14" width="18" customWidth="1"/>
  </cols>
  <sheetData>
    <row r="1" spans="1:12" x14ac:dyDescent="0.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26</v>
      </c>
      <c r="B2">
        <f>Revenue!B2</f>
        <v>0</v>
      </c>
      <c r="C2">
        <f>Revenue!C2</f>
        <v>0</v>
      </c>
      <c r="D2">
        <f>Revenue!D2</f>
        <v>0</v>
      </c>
      <c r="E2">
        <f>Revenue!E2</f>
        <v>0</v>
      </c>
      <c r="F2">
        <f>Revenue!F2</f>
        <v>0</v>
      </c>
      <c r="G2">
        <f>Revenue!G2</f>
        <v>0</v>
      </c>
      <c r="H2">
        <f>Revenue!H2</f>
        <v>0</v>
      </c>
      <c r="I2">
        <f>Revenue!I2</f>
        <v>0</v>
      </c>
      <c r="J2">
        <f>Revenue!J2</f>
        <v>0</v>
      </c>
      <c r="K2">
        <f>Revenue!K2</f>
        <v>0</v>
      </c>
      <c r="L2">
        <f>Revenue!L2</f>
        <v>0</v>
      </c>
    </row>
    <row r="3" spans="1:12" x14ac:dyDescent="0.5">
      <c r="A3" t="s">
        <v>28</v>
      </c>
      <c r="B3">
        <f>SUM('Operating Costs'!B2:B3)</f>
        <v>0</v>
      </c>
      <c r="C3">
        <f>SUM('Operating Costs'!C2:C3)</f>
        <v>0</v>
      </c>
      <c r="D3">
        <f>SUM('Operating Costs'!D2:D3)</f>
        <v>0</v>
      </c>
      <c r="E3">
        <f>SUM('Operating Costs'!E2:E3)</f>
        <v>0</v>
      </c>
      <c r="F3">
        <f>SUM('Operating Costs'!F2:F3)</f>
        <v>0</v>
      </c>
      <c r="G3">
        <f>SUM('Operating Costs'!G2:G3)</f>
        <v>0</v>
      </c>
      <c r="H3">
        <f>SUM('Operating Costs'!H2:H3)</f>
        <v>0</v>
      </c>
      <c r="I3">
        <f>SUM('Operating Costs'!I2:I3)</f>
        <v>0</v>
      </c>
      <c r="J3">
        <f>SUM('Operating Costs'!J2:J3)</f>
        <v>0</v>
      </c>
      <c r="K3">
        <f>SUM('Operating Costs'!K2:K3)</f>
        <v>0</v>
      </c>
      <c r="L3">
        <f>SUM('Operating Costs'!L2:L3)</f>
        <v>0</v>
      </c>
    </row>
    <row r="4" spans="1:12" x14ac:dyDescent="0.5">
      <c r="A4" t="s">
        <v>29</v>
      </c>
      <c r="B4">
        <f t="shared" ref="B4:L4" si="0">B2-B3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</row>
    <row r="5" spans="1:12" x14ac:dyDescent="0.5">
      <c r="A5" t="s">
        <v>30</v>
      </c>
      <c r="B5" t="e">
        <f>Assumptions!B7/Assumptions!B8</f>
        <v>#DIV/0!</v>
      </c>
      <c r="C5" t="e">
        <f>Assumptions!C7/Assumptions!C8</f>
        <v>#DIV/0!</v>
      </c>
      <c r="D5" t="e">
        <f>Assumptions!D7/Assumptions!D8</f>
        <v>#DIV/0!</v>
      </c>
      <c r="E5" t="e">
        <f>Assumptions!E7/Assumptions!E8</f>
        <v>#DIV/0!</v>
      </c>
      <c r="F5" t="e">
        <f>Assumptions!F7/Assumptions!F8</f>
        <v>#DIV/0!</v>
      </c>
      <c r="G5" t="e">
        <f>Assumptions!G7/Assumptions!G8</f>
        <v>#DIV/0!</v>
      </c>
      <c r="H5" t="e">
        <f>Assumptions!H7/Assumptions!H8</f>
        <v>#DIV/0!</v>
      </c>
      <c r="I5" t="e">
        <f>Assumptions!I7/Assumptions!I8</f>
        <v>#DIV/0!</v>
      </c>
      <c r="J5" t="e">
        <f>Assumptions!J7/Assumptions!J8</f>
        <v>#DIV/0!</v>
      </c>
      <c r="K5" t="e">
        <f>Assumptions!K7/Assumptions!K8</f>
        <v>#DIV/0!</v>
      </c>
      <c r="L5" t="e">
        <f>Assumptions!L7/Assumptions!L8</f>
        <v>#DIV/0!</v>
      </c>
    </row>
    <row r="6" spans="1:12" x14ac:dyDescent="0.5">
      <c r="A6" t="s">
        <v>31</v>
      </c>
      <c r="B6" t="e">
        <f t="shared" ref="B6:L6" si="1">B4-B5</f>
        <v>#DIV/0!</v>
      </c>
      <c r="C6" t="e">
        <f t="shared" si="1"/>
        <v>#DIV/0!</v>
      </c>
      <c r="D6" t="e">
        <f t="shared" si="1"/>
        <v>#DIV/0!</v>
      </c>
      <c r="E6" t="e">
        <f t="shared" si="1"/>
        <v>#DIV/0!</v>
      </c>
      <c r="F6" t="e">
        <f t="shared" si="1"/>
        <v>#DIV/0!</v>
      </c>
      <c r="G6" t="e">
        <f t="shared" si="1"/>
        <v>#DIV/0!</v>
      </c>
      <c r="H6" t="e">
        <f t="shared" si="1"/>
        <v>#DIV/0!</v>
      </c>
      <c r="I6" t="e">
        <f t="shared" si="1"/>
        <v>#DIV/0!</v>
      </c>
      <c r="J6" t="e">
        <f t="shared" si="1"/>
        <v>#DIV/0!</v>
      </c>
      <c r="K6" t="e">
        <f t="shared" si="1"/>
        <v>#DIV/0!</v>
      </c>
      <c r="L6" t="e">
        <f t="shared" si="1"/>
        <v>#DIV/0!</v>
      </c>
    </row>
    <row r="7" spans="1:12" x14ac:dyDescent="0.5">
      <c r="A7" t="s">
        <v>32</v>
      </c>
      <c r="B7" t="e">
        <f>[1]Debt!B3*Assumptions!B12</f>
        <v>#REF!</v>
      </c>
      <c r="C7" t="e">
        <f>[1]Debt!C3*Assumptions!C12</f>
        <v>#REF!</v>
      </c>
      <c r="D7" t="e">
        <f>[1]Debt!D3*Assumptions!D12</f>
        <v>#REF!</v>
      </c>
      <c r="E7" t="e">
        <f>[1]Debt!E3*Assumptions!E12</f>
        <v>#REF!</v>
      </c>
      <c r="F7" t="e">
        <f>[1]Debt!F3*Assumptions!F12</f>
        <v>#REF!</v>
      </c>
      <c r="G7" t="e">
        <f>[1]Debt!G3*Assumptions!G12</f>
        <v>#REF!</v>
      </c>
      <c r="H7" t="e">
        <f>[1]Debt!H3*Assumptions!H12</f>
        <v>#REF!</v>
      </c>
      <c r="I7" t="e">
        <f>[1]Debt!I3*Assumptions!I12</f>
        <v>#REF!</v>
      </c>
      <c r="J7" t="e">
        <f>[1]Debt!J3*Assumptions!J12</f>
        <v>#REF!</v>
      </c>
      <c r="K7" t="e">
        <f>[1]Debt!K3*Assumptions!K12</f>
        <v>#REF!</v>
      </c>
      <c r="L7" t="e">
        <f>[1]Debt!L3*Assumptions!L12</f>
        <v>#REF!</v>
      </c>
    </row>
    <row r="8" spans="1:12" x14ac:dyDescent="0.5">
      <c r="A8" t="s">
        <v>33</v>
      </c>
      <c r="B8" t="e">
        <f t="shared" ref="B8:L8" si="2">B6-B7</f>
        <v>#DIV/0!</v>
      </c>
      <c r="C8" t="e">
        <f t="shared" si="2"/>
        <v>#DIV/0!</v>
      </c>
      <c r="D8" t="e">
        <f t="shared" si="2"/>
        <v>#DIV/0!</v>
      </c>
      <c r="E8" t="e">
        <f t="shared" si="2"/>
        <v>#DIV/0!</v>
      </c>
      <c r="F8" t="e">
        <f t="shared" si="2"/>
        <v>#DIV/0!</v>
      </c>
      <c r="G8" t="e">
        <f t="shared" si="2"/>
        <v>#DIV/0!</v>
      </c>
      <c r="H8" t="e">
        <f t="shared" si="2"/>
        <v>#DIV/0!</v>
      </c>
      <c r="I8" t="e">
        <f t="shared" si="2"/>
        <v>#DIV/0!</v>
      </c>
      <c r="J8" t="e">
        <f t="shared" si="2"/>
        <v>#DIV/0!</v>
      </c>
      <c r="K8" t="e">
        <f t="shared" si="2"/>
        <v>#DIV/0!</v>
      </c>
      <c r="L8" t="e">
        <f t="shared" si="2"/>
        <v>#DIV/0!</v>
      </c>
    </row>
    <row r="9" spans="1:12" x14ac:dyDescent="0.5">
      <c r="A9" t="s">
        <v>34</v>
      </c>
      <c r="B9" t="e">
        <f>B8*Assumptions!B6</f>
        <v>#DIV/0!</v>
      </c>
      <c r="C9" t="e">
        <f>C8*Assumptions!C6</f>
        <v>#DIV/0!</v>
      </c>
      <c r="D9" t="e">
        <f>D8*Assumptions!D6</f>
        <v>#DIV/0!</v>
      </c>
      <c r="E9" t="e">
        <f>E8*Assumptions!E6</f>
        <v>#DIV/0!</v>
      </c>
      <c r="F9" t="e">
        <f>F8*Assumptions!F6</f>
        <v>#DIV/0!</v>
      </c>
      <c r="G9" t="e">
        <f>G8*Assumptions!G6</f>
        <v>#DIV/0!</v>
      </c>
      <c r="H9" t="e">
        <f>H8*Assumptions!H6</f>
        <v>#DIV/0!</v>
      </c>
      <c r="I9" t="e">
        <f>I8*Assumptions!I6</f>
        <v>#DIV/0!</v>
      </c>
      <c r="J9" t="e">
        <f>J8*Assumptions!J6</f>
        <v>#DIV/0!</v>
      </c>
      <c r="K9" t="e">
        <f>K8*Assumptions!K6</f>
        <v>#DIV/0!</v>
      </c>
      <c r="L9" t="e">
        <f>L8*Assumptions!L6</f>
        <v>#DIV/0!</v>
      </c>
    </row>
    <row r="10" spans="1:12" x14ac:dyDescent="0.5">
      <c r="A10" t="s">
        <v>35</v>
      </c>
      <c r="B10" t="e">
        <f t="shared" ref="B10:L10" si="3">B8-B9</f>
        <v>#DIV/0!</v>
      </c>
      <c r="C10" t="e">
        <f t="shared" si="3"/>
        <v>#DIV/0!</v>
      </c>
      <c r="D10" t="e">
        <f t="shared" si="3"/>
        <v>#DIV/0!</v>
      </c>
      <c r="E10" t="e">
        <f t="shared" si="3"/>
        <v>#DIV/0!</v>
      </c>
      <c r="F10" t="e">
        <f t="shared" si="3"/>
        <v>#DIV/0!</v>
      </c>
      <c r="G10" t="e">
        <f t="shared" si="3"/>
        <v>#DIV/0!</v>
      </c>
      <c r="H10" t="e">
        <f t="shared" si="3"/>
        <v>#DIV/0!</v>
      </c>
      <c r="I10" t="e">
        <f t="shared" si="3"/>
        <v>#DIV/0!</v>
      </c>
      <c r="J10" t="e">
        <f t="shared" si="3"/>
        <v>#DIV/0!</v>
      </c>
      <c r="K10" t="e">
        <f t="shared" si="3"/>
        <v>#DIV/0!</v>
      </c>
      <c r="L10" t="e">
        <f t="shared" si="3"/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35" x14ac:dyDescent="0.5"/>
  <cols>
    <col min="1" max="14" width="18" customWidth="1"/>
  </cols>
  <sheetData>
    <row r="1" spans="1:12" x14ac:dyDescent="0.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41</v>
      </c>
      <c r="B2">
        <f>SUM('Cash Flow'!B6)</f>
        <v>0</v>
      </c>
      <c r="C2">
        <f>SUM('Cash Flow'!C6)</f>
        <v>0</v>
      </c>
      <c r="D2">
        <f>SUM('Cash Flow'!D6)</f>
        <v>0</v>
      </c>
      <c r="E2">
        <f>SUM('Cash Flow'!E6)</f>
        <v>0</v>
      </c>
      <c r="F2">
        <f>SUM('Cash Flow'!F6)</f>
        <v>0</v>
      </c>
      <c r="G2">
        <f>SUM('Cash Flow'!G6)</f>
        <v>0</v>
      </c>
      <c r="H2">
        <f>SUM('Cash Flow'!H6)</f>
        <v>0</v>
      </c>
      <c r="I2">
        <f>SUM('Cash Flow'!I6)</f>
        <v>0</v>
      </c>
      <c r="J2">
        <f>SUM('Cash Flow'!J6)</f>
        <v>0</v>
      </c>
      <c r="K2">
        <f>SUM('Cash Flow'!K6)</f>
        <v>0</v>
      </c>
      <c r="L2">
        <f>SUM('Cash Flow'!L6)</f>
        <v>0</v>
      </c>
    </row>
    <row r="3" spans="1:12" x14ac:dyDescent="0.5">
      <c r="A3" t="s">
        <v>42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</row>
    <row r="4" spans="1:12" x14ac:dyDescent="0.5">
      <c r="A4" t="s">
        <v>44</v>
      </c>
      <c r="B4" t="e">
        <f>'Cash Flow'!B9</f>
        <v>#DIV/0!</v>
      </c>
      <c r="C4" t="e">
        <f>'Cash Flow'!C9</f>
        <v>#DIV/0!</v>
      </c>
      <c r="D4" t="e">
        <f>'Cash Flow'!D9</f>
        <v>#DIV/0!</v>
      </c>
      <c r="E4" t="e">
        <f>'Cash Flow'!E9</f>
        <v>#DIV/0!</v>
      </c>
      <c r="F4" t="e">
        <f>'Cash Flow'!F9</f>
        <v>#DIV/0!</v>
      </c>
      <c r="G4" t="e">
        <f>'Cash Flow'!G9</f>
        <v>#DIV/0!</v>
      </c>
      <c r="H4" t="e">
        <f>'Cash Flow'!H9</f>
        <v>#DIV/0!</v>
      </c>
      <c r="I4" t="e">
        <f>'Cash Flow'!I9</f>
        <v>#DIV/0!</v>
      </c>
      <c r="J4" t="e">
        <f>'Cash Flow'!J9</f>
        <v>#DIV/0!</v>
      </c>
      <c r="K4" t="e">
        <f>'Cash Flow'!K9</f>
        <v>#DIV/0!</v>
      </c>
      <c r="L4" t="e">
        <f>'Cash Flow'!L9</f>
        <v>#DIV/0!</v>
      </c>
    </row>
    <row r="5" spans="1:12" x14ac:dyDescent="0.5">
      <c r="A5" t="s">
        <v>45</v>
      </c>
      <c r="B5" t="e">
        <f t="shared" ref="B5:L5" si="0">SUM(B2:B4)</f>
        <v>#DIV/0!</v>
      </c>
      <c r="C5" t="e">
        <f t="shared" si="0"/>
        <v>#DIV/0!</v>
      </c>
      <c r="D5" t="e">
        <f t="shared" si="0"/>
        <v>#DIV/0!</v>
      </c>
      <c r="E5" t="e">
        <f t="shared" si="0"/>
        <v>#DIV/0!</v>
      </c>
      <c r="F5" t="e">
        <f t="shared" si="0"/>
        <v>#DIV/0!</v>
      </c>
      <c r="G5" t="e">
        <f t="shared" si="0"/>
        <v>#DIV/0!</v>
      </c>
      <c r="H5" t="e">
        <f t="shared" si="0"/>
        <v>#DIV/0!</v>
      </c>
      <c r="I5" t="e">
        <f t="shared" si="0"/>
        <v>#DIV/0!</v>
      </c>
      <c r="J5" t="e">
        <f t="shared" si="0"/>
        <v>#DIV/0!</v>
      </c>
      <c r="K5" t="e">
        <f t="shared" si="0"/>
        <v>#DIV/0!</v>
      </c>
      <c r="L5" t="e">
        <f t="shared" si="0"/>
        <v>#DIV/0!</v>
      </c>
    </row>
    <row r="6" spans="1:12" x14ac:dyDescent="0.5">
      <c r="A6" t="s">
        <v>38</v>
      </c>
      <c r="B6">
        <f>Assumptions!B13</f>
        <v>0</v>
      </c>
      <c r="C6">
        <f>Assumptions!C13</f>
        <v>0</v>
      </c>
      <c r="D6">
        <f>Assumptions!D13</f>
        <v>0</v>
      </c>
      <c r="E6">
        <f>Assumptions!E13</f>
        <v>0</v>
      </c>
      <c r="F6">
        <f>Assumptions!F13</f>
        <v>0</v>
      </c>
      <c r="G6">
        <f>Assumptions!G13</f>
        <v>0</v>
      </c>
      <c r="H6">
        <f>Assumptions!H13</f>
        <v>0</v>
      </c>
      <c r="I6">
        <f>Assumptions!I13</f>
        <v>0</v>
      </c>
      <c r="J6">
        <f>Assumptions!J13</f>
        <v>0</v>
      </c>
      <c r="K6">
        <f>Assumptions!K13</f>
        <v>0</v>
      </c>
      <c r="L6">
        <f>Assumptions!L13</f>
        <v>0</v>
      </c>
    </row>
    <row r="7" spans="1:12" x14ac:dyDescent="0.5">
      <c r="A7" t="s">
        <v>39</v>
      </c>
      <c r="B7">
        <f>Assumptions!B14</f>
        <v>0</v>
      </c>
      <c r="C7">
        <f>Assumptions!C14</f>
        <v>0</v>
      </c>
      <c r="D7">
        <f>Assumptions!D14</f>
        <v>0</v>
      </c>
      <c r="E7">
        <f>Assumptions!E14</f>
        <v>0</v>
      </c>
      <c r="F7">
        <f>Assumptions!F14</f>
        <v>0</v>
      </c>
      <c r="G7">
        <f>Assumptions!G14</f>
        <v>0</v>
      </c>
      <c r="H7">
        <f>Assumptions!H14</f>
        <v>0</v>
      </c>
      <c r="I7">
        <f>Assumptions!I14</f>
        <v>0</v>
      </c>
      <c r="J7">
        <f>Assumptions!J14</f>
        <v>0</v>
      </c>
      <c r="K7">
        <f>Assumptions!K14</f>
        <v>0</v>
      </c>
      <c r="L7">
        <f>Assumptions!L14</f>
        <v>0</v>
      </c>
    </row>
    <row r="8" spans="1:12" x14ac:dyDescent="0.5">
      <c r="A8" t="s">
        <v>46</v>
      </c>
      <c r="B8" t="e">
        <f>'P&amp;L'!B10</f>
        <v>#DIV/0!</v>
      </c>
      <c r="C8" t="e">
        <f>'P&amp;L'!C10</f>
        <v>#DIV/0!</v>
      </c>
      <c r="D8" t="e">
        <f>'P&amp;L'!D10</f>
        <v>#DIV/0!</v>
      </c>
      <c r="E8" t="e">
        <f>'P&amp;L'!E10</f>
        <v>#DIV/0!</v>
      </c>
      <c r="F8" t="e">
        <f>'P&amp;L'!F10</f>
        <v>#DIV/0!</v>
      </c>
      <c r="G8" t="e">
        <f>'P&amp;L'!G10</f>
        <v>#DIV/0!</v>
      </c>
      <c r="H8" t="e">
        <f>'P&amp;L'!H10</f>
        <v>#DIV/0!</v>
      </c>
      <c r="I8" t="e">
        <f>'P&amp;L'!I10</f>
        <v>#DIV/0!</v>
      </c>
      <c r="J8" t="e">
        <f>'P&amp;L'!J10</f>
        <v>#DIV/0!</v>
      </c>
      <c r="K8" t="e">
        <f>'P&amp;L'!K10</f>
        <v>#DIV/0!</v>
      </c>
      <c r="L8" t="e">
        <f>'P&amp;L'!L10</f>
        <v>#DIV/0!</v>
      </c>
    </row>
    <row r="9" spans="1:12" x14ac:dyDescent="0.5">
      <c r="A9" t="s">
        <v>47</v>
      </c>
      <c r="B9" t="e">
        <f t="shared" ref="B9:L9" si="1">SUM(B6:B8)</f>
        <v>#DIV/0!</v>
      </c>
      <c r="C9" t="e">
        <f t="shared" si="1"/>
        <v>#DIV/0!</v>
      </c>
      <c r="D9" t="e">
        <f t="shared" si="1"/>
        <v>#DIV/0!</v>
      </c>
      <c r="E9" t="e">
        <f t="shared" si="1"/>
        <v>#DIV/0!</v>
      </c>
      <c r="F9" t="e">
        <f t="shared" si="1"/>
        <v>#DIV/0!</v>
      </c>
      <c r="G9" t="e">
        <f t="shared" si="1"/>
        <v>#DIV/0!</v>
      </c>
      <c r="H9" t="e">
        <f t="shared" si="1"/>
        <v>#DIV/0!</v>
      </c>
      <c r="I9" t="e">
        <f t="shared" si="1"/>
        <v>#DIV/0!</v>
      </c>
      <c r="J9" t="e">
        <f t="shared" si="1"/>
        <v>#DIV/0!</v>
      </c>
      <c r="K9" t="e">
        <f t="shared" si="1"/>
        <v>#DIV/0!</v>
      </c>
      <c r="L9" t="e">
        <f t="shared" si="1"/>
        <v>#DIV/0!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35" x14ac:dyDescent="0.5"/>
  <cols>
    <col min="1" max="14" width="18" customWidth="1"/>
  </cols>
  <sheetData>
    <row r="1" spans="1:12" x14ac:dyDescent="0.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35</v>
      </c>
      <c r="B2" t="e">
        <f>'P&amp;L'!B10</f>
        <v>#DIV/0!</v>
      </c>
      <c r="C2" t="e">
        <f>'P&amp;L'!C10</f>
        <v>#DIV/0!</v>
      </c>
      <c r="D2" t="e">
        <f>'P&amp;L'!D10</f>
        <v>#DIV/0!</v>
      </c>
      <c r="E2" t="e">
        <f>'P&amp;L'!E10</f>
        <v>#DIV/0!</v>
      </c>
      <c r="F2" t="e">
        <f>'P&amp;L'!F10</f>
        <v>#DIV/0!</v>
      </c>
      <c r="G2" t="e">
        <f>'P&amp;L'!G10</f>
        <v>#DIV/0!</v>
      </c>
      <c r="H2" t="e">
        <f>'P&amp;L'!H10</f>
        <v>#DIV/0!</v>
      </c>
      <c r="I2" t="e">
        <f>'P&amp;L'!I10</f>
        <v>#DIV/0!</v>
      </c>
      <c r="J2" t="e">
        <f>'P&amp;L'!J10</f>
        <v>#DIV/0!</v>
      </c>
      <c r="K2" t="e">
        <f>'P&amp;L'!K10</f>
        <v>#DIV/0!</v>
      </c>
      <c r="L2" t="e">
        <f>'P&amp;L'!L10</f>
        <v>#DIV/0!</v>
      </c>
    </row>
    <row r="3" spans="1:12" x14ac:dyDescent="0.5">
      <c r="A3" t="s">
        <v>30</v>
      </c>
      <c r="B3" t="e">
        <f>'P&amp;L'!B5</f>
        <v>#DIV/0!</v>
      </c>
      <c r="C3" t="e">
        <f>'P&amp;L'!C5</f>
        <v>#DIV/0!</v>
      </c>
      <c r="D3" t="e">
        <f>'P&amp;L'!D5</f>
        <v>#DIV/0!</v>
      </c>
      <c r="E3" t="e">
        <f>'P&amp;L'!E5</f>
        <v>#DIV/0!</v>
      </c>
      <c r="F3" t="e">
        <f>'P&amp;L'!F5</f>
        <v>#DIV/0!</v>
      </c>
      <c r="G3" t="e">
        <f>'P&amp;L'!G5</f>
        <v>#DIV/0!</v>
      </c>
      <c r="H3" t="e">
        <f>'P&amp;L'!H5</f>
        <v>#DIV/0!</v>
      </c>
      <c r="I3" t="e">
        <f>'P&amp;L'!I5</f>
        <v>#DIV/0!</v>
      </c>
      <c r="J3" t="e">
        <f>'P&amp;L'!J5</f>
        <v>#DIV/0!</v>
      </c>
      <c r="K3" t="e">
        <f>'P&amp;L'!K5</f>
        <v>#DIV/0!</v>
      </c>
      <c r="L3" t="e">
        <f>'P&amp;L'!L5</f>
        <v>#DIV/0!</v>
      </c>
    </row>
    <row r="4" spans="1:12" x14ac:dyDescent="0.5">
      <c r="A4" t="s">
        <v>36</v>
      </c>
    </row>
    <row r="5" spans="1:12" x14ac:dyDescent="0.5">
      <c r="A5" t="s">
        <v>37</v>
      </c>
      <c r="B5" t="e">
        <f t="shared" ref="B5:L5" si="0">B2+B3-B4</f>
        <v>#DIV/0!</v>
      </c>
      <c r="C5" t="e">
        <f t="shared" si="0"/>
        <v>#DIV/0!</v>
      </c>
      <c r="D5" t="e">
        <f t="shared" si="0"/>
        <v>#DIV/0!</v>
      </c>
      <c r="E5" t="e">
        <f t="shared" si="0"/>
        <v>#DIV/0!</v>
      </c>
      <c r="F5" t="e">
        <f t="shared" si="0"/>
        <v>#DIV/0!</v>
      </c>
      <c r="G5" t="e">
        <f t="shared" si="0"/>
        <v>#DIV/0!</v>
      </c>
      <c r="H5" t="e">
        <f t="shared" si="0"/>
        <v>#DIV/0!</v>
      </c>
      <c r="I5" t="e">
        <f t="shared" si="0"/>
        <v>#DIV/0!</v>
      </c>
      <c r="J5" t="e">
        <f t="shared" si="0"/>
        <v>#DIV/0!</v>
      </c>
      <c r="K5" t="e">
        <f t="shared" si="0"/>
        <v>#DIV/0!</v>
      </c>
      <c r="L5" t="e">
        <f t="shared" si="0"/>
        <v>#DIV/0!</v>
      </c>
    </row>
    <row r="6" spans="1:12" x14ac:dyDescent="0.5">
      <c r="A6" t="s">
        <v>18</v>
      </c>
      <c r="B6">
        <f>-Assumptions!B7</f>
        <v>0</v>
      </c>
      <c r="C6">
        <f>-Assumptions!C7</f>
        <v>0</v>
      </c>
      <c r="D6">
        <f>-Assumptions!D7</f>
        <v>0</v>
      </c>
      <c r="E6">
        <f>-Assumptions!E7</f>
        <v>0</v>
      </c>
      <c r="F6">
        <f>-Assumptions!F7</f>
        <v>0</v>
      </c>
      <c r="G6">
        <f>-Assumptions!G7</f>
        <v>0</v>
      </c>
      <c r="H6">
        <f>-Assumptions!H7</f>
        <v>0</v>
      </c>
      <c r="I6">
        <f>-Assumptions!I7</f>
        <v>0</v>
      </c>
      <c r="J6">
        <f>-Assumptions!J7</f>
        <v>0</v>
      </c>
      <c r="K6">
        <f>-Assumptions!K7</f>
        <v>0</v>
      </c>
      <c r="L6">
        <f>-Assumptions!L7</f>
        <v>0</v>
      </c>
    </row>
    <row r="7" spans="1:12" x14ac:dyDescent="0.5">
      <c r="A7" t="s">
        <v>38</v>
      </c>
      <c r="B7">
        <f>Assumptions!B13</f>
        <v>0</v>
      </c>
      <c r="C7">
        <f>Assumptions!C13</f>
        <v>0</v>
      </c>
      <c r="D7">
        <f>Assumptions!D13</f>
        <v>0</v>
      </c>
      <c r="E7">
        <f>Assumptions!E13</f>
        <v>0</v>
      </c>
      <c r="F7">
        <f>Assumptions!F13</f>
        <v>0</v>
      </c>
      <c r="G7">
        <f>Assumptions!G13</f>
        <v>0</v>
      </c>
      <c r="H7">
        <f>Assumptions!H13</f>
        <v>0</v>
      </c>
      <c r="I7">
        <f>Assumptions!I13</f>
        <v>0</v>
      </c>
      <c r="J7">
        <f>Assumptions!J13</f>
        <v>0</v>
      </c>
      <c r="K7">
        <f>Assumptions!K13</f>
        <v>0</v>
      </c>
      <c r="L7">
        <f>Assumptions!L13</f>
        <v>0</v>
      </c>
    </row>
    <row r="8" spans="1:12" x14ac:dyDescent="0.5">
      <c r="A8" t="s">
        <v>39</v>
      </c>
      <c r="B8">
        <f>Assumptions!B14</f>
        <v>0</v>
      </c>
      <c r="C8">
        <f>Assumptions!C14</f>
        <v>0</v>
      </c>
      <c r="D8">
        <f>Assumptions!D14</f>
        <v>0</v>
      </c>
      <c r="E8">
        <f>Assumptions!E14</f>
        <v>0</v>
      </c>
      <c r="F8">
        <f>Assumptions!F14</f>
        <v>0</v>
      </c>
      <c r="G8">
        <f>Assumptions!G14</f>
        <v>0</v>
      </c>
      <c r="H8">
        <f>Assumptions!H14</f>
        <v>0</v>
      </c>
      <c r="I8">
        <f>Assumptions!I14</f>
        <v>0</v>
      </c>
      <c r="J8">
        <f>Assumptions!J14</f>
        <v>0</v>
      </c>
      <c r="K8">
        <f>Assumptions!K14</f>
        <v>0</v>
      </c>
      <c r="L8">
        <f>Assumptions!L14</f>
        <v>0</v>
      </c>
    </row>
    <row r="9" spans="1:12" x14ac:dyDescent="0.5">
      <c r="A9" t="s">
        <v>40</v>
      </c>
      <c r="B9" t="e">
        <f t="shared" ref="B9:L9" si="1">SUM(B5:B8)</f>
        <v>#DIV/0!</v>
      </c>
      <c r="C9" t="e">
        <f t="shared" si="1"/>
        <v>#DIV/0!</v>
      </c>
      <c r="D9" t="e">
        <f t="shared" si="1"/>
        <v>#DIV/0!</v>
      </c>
      <c r="E9" t="e">
        <f t="shared" si="1"/>
        <v>#DIV/0!</v>
      </c>
      <c r="F9" t="e">
        <f t="shared" si="1"/>
        <v>#DIV/0!</v>
      </c>
      <c r="G9" t="e">
        <f t="shared" si="1"/>
        <v>#DIV/0!</v>
      </c>
      <c r="H9" t="e">
        <f t="shared" si="1"/>
        <v>#DIV/0!</v>
      </c>
      <c r="I9" t="e">
        <f t="shared" si="1"/>
        <v>#DIV/0!</v>
      </c>
      <c r="J9" t="e">
        <f t="shared" si="1"/>
        <v>#DIV/0!</v>
      </c>
      <c r="K9" t="e">
        <f t="shared" si="1"/>
        <v>#DIV/0!</v>
      </c>
      <c r="L9" t="e">
        <f t="shared" si="1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Revenue</vt:lpstr>
      <vt:lpstr>Operating Costs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Raghav Varada</cp:lastModifiedBy>
  <dcterms:created xsi:type="dcterms:W3CDTF">2026-01-13T18:02:41Z</dcterms:created>
  <dcterms:modified xsi:type="dcterms:W3CDTF">2026-01-17T04:04:21Z</dcterms:modified>
</cp:coreProperties>
</file>